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elpandor\Documents\Projets\Interfaçage DGI\Docs\DGI\"/>
    </mc:Choice>
  </mc:AlternateContent>
  <xr:revisionPtr revIDLastSave="0" documentId="13_ncr:1_{DAF8A088-6301-4A92-9515-9E9A5D4A2BB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pecimen FNE societe" sheetId="1" r:id="rId1"/>
    <sheet name="specimen FNE CLIENT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4" l="1"/>
  <c r="E19" i="4"/>
  <c r="E18" i="4"/>
  <c r="E27" i="4" l="1"/>
  <c r="D26" i="4"/>
  <c r="D25" i="4" l="1"/>
  <c r="E24" i="4" s="1"/>
  <c r="E26" i="4"/>
  <c r="E25" i="4" l="1"/>
  <c r="E19" i="1" l="1"/>
  <c r="E20" i="1"/>
  <c r="E18" i="1"/>
  <c r="E27" i="1" s="1"/>
  <c r="D26" i="1" l="1"/>
  <c r="E26" i="1" s="1"/>
  <c r="D25" i="1" l="1"/>
  <c r="E24" i="1" s="1"/>
  <c r="E25" i="1" l="1"/>
</calcChain>
</file>

<file path=xl/sharedStrings.xml><?xml version="1.0" encoding="utf-8"?>
<sst xmlns="http://schemas.openxmlformats.org/spreadsheetml/2006/main" count="46" uniqueCount="29">
  <si>
    <t>SOCIETE</t>
  </si>
  <si>
    <t xml:space="preserve"> Date</t>
  </si>
  <si>
    <t>Quantité</t>
  </si>
  <si>
    <t xml:space="preserve"> </t>
  </si>
  <si>
    <t>Base</t>
  </si>
  <si>
    <t>H.T</t>
  </si>
  <si>
    <t>TDT</t>
  </si>
  <si>
    <t>TVA 18.00%</t>
  </si>
  <si>
    <t>La Reception</t>
  </si>
  <si>
    <t>N°CC</t>
  </si>
  <si>
    <t>Produit / Service</t>
  </si>
  <si>
    <t>Prix Unitaire HT</t>
  </si>
  <si>
    <t>Montant HT</t>
  </si>
  <si>
    <t>Information Client</t>
  </si>
  <si>
    <t>N° FACTURE : .........................</t>
  </si>
  <si>
    <t>.........................</t>
  </si>
  <si>
    <t>..................................................</t>
  </si>
  <si>
    <t>Mode de paiement</t>
  </si>
  <si>
    <t>Montant TTC</t>
  </si>
  <si>
    <t>DATE : ......................................</t>
  </si>
  <si>
    <t>CLIENT</t>
  </si>
  <si>
    <t>Perrier 75cl</t>
  </si>
  <si>
    <t>Kirène 1,5L</t>
  </si>
  <si>
    <t>Café</t>
  </si>
  <si>
    <t>AFCOTT CASHEW SARLU</t>
  </si>
  <si>
    <t>1733438Y</t>
  </si>
  <si>
    <t>DATE : 19/06/2025</t>
  </si>
  <si>
    <t>N° FACTURE : 25 316 1098</t>
  </si>
  <si>
    <t>Espèce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</si>
</sst>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\/mm\/yy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1"/>
      <color indexed="8"/>
      <name val="Times New Roman"/>
      <family val="1"/>
    </font>
    <font>
      <sz val="8"/>
      <color indexed="8"/>
      <name val="Times New Roman"/>
      <family val="1"/>
    </font>
    <font>
      <sz val="12"/>
      <name val="Times New Roman"/>
      <family val="1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164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9" fillId="0" borderId="0" xfId="0" applyFont="1"/>
    <xf numFmtId="164" fontId="8" fillId="0" borderId="1" xfId="0" applyNumberFormat="1" applyFont="1" applyBorder="1" applyAlignment="1">
      <alignment vertical="center" wrapText="1"/>
    </xf>
    <xf numFmtId="0" fontId="8" fillId="3" borderId="1" xfId="0" applyFont="1" applyFill="1" applyBorder="1" applyAlignment="1">
      <alignment horizontal="left" vertical="center" wrapText="1"/>
    </xf>
    <xf numFmtId="3" fontId="2" fillId="3" borderId="1" xfId="0" applyNumberFormat="1" applyFont="1" applyFill="1" applyBorder="1" applyAlignment="1">
      <alignment horizontal="right" vertical="center" wrapText="1"/>
    </xf>
    <xf numFmtId="164" fontId="8" fillId="0" borderId="3" xfId="0" applyNumberFormat="1" applyFont="1" applyBorder="1" applyAlignment="1">
      <alignment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3" fontId="2" fillId="3" borderId="3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43" fontId="2" fillId="3" borderId="1" xfId="1" applyFont="1" applyFill="1" applyBorder="1" applyAlignment="1" applyProtection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64" fontId="8" fillId="0" borderId="12" xfId="0" applyNumberFormat="1" applyFont="1" applyBorder="1" applyAlignment="1">
      <alignment horizontal="center" vertical="center" wrapText="1"/>
    </xf>
    <xf numFmtId="164" fontId="8" fillId="0" borderId="13" xfId="0" applyNumberFormat="1" applyFont="1" applyBorder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24</xdr:row>
      <xdr:rowOff>152400</xdr:rowOff>
    </xdr:from>
    <xdr:to>
      <xdr:col>1</xdr:col>
      <xdr:colOff>1381124</xdr:colOff>
      <xdr:row>28</xdr:row>
      <xdr:rowOff>66675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4775" y="5286375"/>
          <a:ext cx="2228849" cy="714375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Arretée</a:t>
          </a:r>
          <a:r>
            <a:rPr lang="fr-FR" sz="1100" baseline="0"/>
            <a:t> laprésente Note à la somme de : Soixante Mille Cinq Cents Francs CFA</a:t>
          </a:r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25</xdr:row>
      <xdr:rowOff>108584</xdr:rowOff>
    </xdr:from>
    <xdr:to>
      <xdr:col>1</xdr:col>
      <xdr:colOff>1428749</xdr:colOff>
      <xdr:row>29</xdr:row>
      <xdr:rowOff>99059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52400" y="5358764"/>
          <a:ext cx="2259329" cy="782955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Arretée</a:t>
          </a:r>
          <a:r>
            <a:rPr lang="fr-FR" sz="1100" baseline="0"/>
            <a:t> la présente facture à la somme de : </a:t>
          </a:r>
          <a:r>
            <a:rPr lang="fr-FR" sz="1100"/>
            <a:t>...........................................................................</a:t>
          </a:r>
        </a:p>
      </xdr:txBody>
    </xdr:sp>
    <xdr:clientData/>
  </xdr:twoCellAnchor>
  <xdr:twoCellAnchor>
    <xdr:from>
      <xdr:col>0</xdr:col>
      <xdr:colOff>0</xdr:colOff>
      <xdr:row>27</xdr:row>
      <xdr:rowOff>123825</xdr:rowOff>
    </xdr:from>
    <xdr:to>
      <xdr:col>1</xdr:col>
      <xdr:colOff>1276349</xdr:colOff>
      <xdr:row>27</xdr:row>
      <xdr:rowOff>190499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5770245"/>
          <a:ext cx="2259329" cy="66674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Arretée</a:t>
          </a:r>
          <a:r>
            <a:rPr lang="fr-FR" sz="1100" baseline="0"/>
            <a:t> laprésente Note à la somme de : Soixante Mille Cinq Cents Francs CFA</a:t>
          </a:r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7:E40"/>
  <sheetViews>
    <sheetView tabSelected="1" topLeftCell="A12" workbookViewId="0">
      <selection activeCell="D11" sqref="D11:E11"/>
    </sheetView>
  </sheetViews>
  <sheetFormatPr baseColWidth="10" defaultRowHeight="15" x14ac:dyDescent="0.25"/>
  <cols>
    <col min="1" max="1" width="14.28515625" customWidth="1"/>
    <col min="2" max="2" width="23.42578125" customWidth="1"/>
    <col min="3" max="3" width="19.85546875" customWidth="1"/>
    <col min="4" max="4" width="12.28515625" customWidth="1"/>
    <col min="5" max="5" width="14.42578125" customWidth="1"/>
  </cols>
  <sheetData>
    <row r="7" spans="1:5" x14ac:dyDescent="0.25">
      <c r="A7" t="s">
        <v>27</v>
      </c>
    </row>
    <row r="10" spans="1:5" ht="15.75" x14ac:dyDescent="0.25">
      <c r="A10" s="24"/>
      <c r="B10" s="24"/>
      <c r="C10" s="24"/>
      <c r="D10" s="24"/>
      <c r="E10" s="24"/>
    </row>
    <row r="11" spans="1:5" ht="15.75" x14ac:dyDescent="0.25">
      <c r="A11" s="25"/>
      <c r="B11" s="25"/>
      <c r="C11" s="25"/>
      <c r="D11" s="26" t="s">
        <v>26</v>
      </c>
      <c r="E11" s="27"/>
    </row>
    <row r="12" spans="1:5" ht="15.75" x14ac:dyDescent="0.25">
      <c r="A12" s="28" t="s">
        <v>13</v>
      </c>
      <c r="B12" s="29"/>
      <c r="C12" s="29"/>
      <c r="D12" s="29"/>
      <c r="E12" s="29"/>
    </row>
    <row r="13" spans="1:5" ht="29.45" customHeight="1" x14ac:dyDescent="0.25">
      <c r="A13" s="30" t="s">
        <v>0</v>
      </c>
      <c r="B13" s="31"/>
      <c r="C13" s="32" t="s">
        <v>24</v>
      </c>
      <c r="D13" s="32"/>
      <c r="E13" s="33"/>
    </row>
    <row r="14" spans="1:5" ht="14.45" customHeight="1" x14ac:dyDescent="0.25">
      <c r="A14" s="39" t="s">
        <v>9</v>
      </c>
      <c r="B14" s="39"/>
      <c r="C14" s="40" t="s">
        <v>25</v>
      </c>
      <c r="D14" s="40"/>
      <c r="E14" s="40"/>
    </row>
    <row r="15" spans="1:5" ht="20.25" customHeight="1" x14ac:dyDescent="0.25">
      <c r="A15" s="41"/>
      <c r="B15" s="41"/>
      <c r="C15" s="41"/>
      <c r="D15" s="41"/>
      <c r="E15" s="41"/>
    </row>
    <row r="16" spans="1:5" ht="22.5" customHeight="1" x14ac:dyDescent="0.25">
      <c r="A16" s="42"/>
      <c r="B16" s="42"/>
      <c r="C16" s="42"/>
      <c r="D16" s="42"/>
      <c r="E16" s="42"/>
    </row>
    <row r="17" spans="1:5" s="10" customFormat="1" ht="25.5" x14ac:dyDescent="0.2">
      <c r="A17" s="18" t="s">
        <v>1</v>
      </c>
      <c r="B17" s="18" t="s">
        <v>10</v>
      </c>
      <c r="C17" s="18" t="s">
        <v>2</v>
      </c>
      <c r="D17" s="18" t="s">
        <v>11</v>
      </c>
      <c r="E17" s="18" t="s">
        <v>12</v>
      </c>
    </row>
    <row r="18" spans="1:5" ht="15.75" x14ac:dyDescent="0.25">
      <c r="A18" s="34">
        <v>45827</v>
      </c>
      <c r="B18" s="15" t="s">
        <v>21</v>
      </c>
      <c r="C18" s="16">
        <v>1</v>
      </c>
      <c r="D18" s="17">
        <v>5000</v>
      </c>
      <c r="E18" s="17">
        <f>D18*C18</f>
        <v>5000</v>
      </c>
    </row>
    <row r="19" spans="1:5" ht="15.75" x14ac:dyDescent="0.25">
      <c r="A19" s="35"/>
      <c r="B19" s="12" t="s">
        <v>22</v>
      </c>
      <c r="C19" s="5">
        <v>1</v>
      </c>
      <c r="D19" s="13">
        <v>3500</v>
      </c>
      <c r="E19" s="13">
        <f t="shared" ref="E19:E20" si="0">D19*C19</f>
        <v>3500</v>
      </c>
    </row>
    <row r="20" spans="1:5" ht="15.75" x14ac:dyDescent="0.25">
      <c r="A20" s="36"/>
      <c r="B20" s="12" t="s">
        <v>23</v>
      </c>
      <c r="C20" s="5">
        <v>2</v>
      </c>
      <c r="D20" s="13">
        <v>26000</v>
      </c>
      <c r="E20" s="13">
        <f t="shared" si="0"/>
        <v>52000</v>
      </c>
    </row>
    <row r="21" spans="1:5" ht="15.75" x14ac:dyDescent="0.25">
      <c r="A21" s="2"/>
      <c r="B21" s="1"/>
      <c r="C21" s="1"/>
      <c r="D21" s="1"/>
      <c r="E21" s="1"/>
    </row>
    <row r="22" spans="1:5" ht="15.75" x14ac:dyDescent="0.25">
      <c r="A22" s="3"/>
      <c r="B22" s="1"/>
      <c r="C22" s="1"/>
      <c r="D22" s="1"/>
      <c r="E22" s="1"/>
    </row>
    <row r="23" spans="1:5" ht="15.75" x14ac:dyDescent="0.25">
      <c r="A23" s="3"/>
      <c r="B23" s="1"/>
      <c r="C23" s="4" t="s">
        <v>3</v>
      </c>
      <c r="D23" s="20" t="s">
        <v>4</v>
      </c>
      <c r="E23" s="21" t="s">
        <v>18</v>
      </c>
    </row>
    <row r="24" spans="1:5" ht="15.75" x14ac:dyDescent="0.25">
      <c r="A24" s="3"/>
      <c r="B24" s="1"/>
      <c r="C24" s="19" t="s">
        <v>5</v>
      </c>
      <c r="D24" s="22"/>
      <c r="E24" s="22">
        <f>D25</f>
        <v>50513.484178007857</v>
      </c>
    </row>
    <row r="25" spans="1:5" ht="15.75" x14ac:dyDescent="0.25">
      <c r="A25" s="3"/>
      <c r="B25" s="1"/>
      <c r="C25" s="19" t="s">
        <v>6</v>
      </c>
      <c r="D25" s="22">
        <f>D26/1.015</f>
        <v>50513.484178007857</v>
      </c>
      <c r="E25" s="22">
        <f>D26-D25</f>
        <v>757.70226267011458</v>
      </c>
    </row>
    <row r="26" spans="1:5" ht="15.75" x14ac:dyDescent="0.25">
      <c r="A26" s="3"/>
      <c r="B26" s="1"/>
      <c r="C26" s="19" t="s">
        <v>7</v>
      </c>
      <c r="D26" s="22">
        <f>E27/1.18</f>
        <v>51271.186440677971</v>
      </c>
      <c r="E26" s="22">
        <f>E27-D26</f>
        <v>9228.8135593220286</v>
      </c>
    </row>
    <row r="27" spans="1:5" ht="15.75" x14ac:dyDescent="0.25">
      <c r="A27" s="3"/>
      <c r="B27" s="6"/>
      <c r="C27" s="19" t="s">
        <v>18</v>
      </c>
      <c r="D27" s="22"/>
      <c r="E27" s="22">
        <f>SUM(E18,E19,E20)</f>
        <v>60500</v>
      </c>
    </row>
    <row r="28" spans="1:5" ht="15.75" x14ac:dyDescent="0.25">
      <c r="A28" s="3"/>
      <c r="B28" s="6"/>
      <c r="C28" s="19" t="s">
        <v>17</v>
      </c>
      <c r="D28" s="37" t="s">
        <v>28</v>
      </c>
      <c r="E28" s="38"/>
    </row>
    <row r="29" spans="1:5" ht="15.75" x14ac:dyDescent="0.25">
      <c r="A29" s="3"/>
      <c r="B29" s="1"/>
      <c r="C29" s="8"/>
      <c r="D29" s="8"/>
      <c r="E29" s="1"/>
    </row>
    <row r="30" spans="1:5" ht="15.75" x14ac:dyDescent="0.25">
      <c r="A30" s="3"/>
      <c r="B30" s="1"/>
      <c r="C30" s="8"/>
      <c r="D30" s="8"/>
      <c r="E30" s="1"/>
    </row>
    <row r="31" spans="1:5" ht="15.75" x14ac:dyDescent="0.25">
      <c r="A31" s="3"/>
      <c r="B31" s="1"/>
      <c r="C31" s="8"/>
      <c r="D31" s="8"/>
      <c r="E31" s="1"/>
    </row>
    <row r="32" spans="1:5" ht="15.75" x14ac:dyDescent="0.25">
      <c r="A32" s="3"/>
      <c r="B32" s="1"/>
      <c r="C32" s="8"/>
      <c r="D32" s="8"/>
      <c r="E32" s="1"/>
    </row>
    <row r="33" spans="1:5" ht="15.75" x14ac:dyDescent="0.25">
      <c r="A33" s="3"/>
      <c r="B33" s="1"/>
      <c r="C33" s="8"/>
      <c r="D33" s="8"/>
      <c r="E33" s="1"/>
    </row>
    <row r="34" spans="1:5" ht="15.75" x14ac:dyDescent="0.25">
      <c r="A34" s="3"/>
      <c r="B34" s="1"/>
      <c r="C34" s="8"/>
      <c r="D34" s="8"/>
      <c r="E34" s="1"/>
    </row>
    <row r="35" spans="1:5" ht="15.75" x14ac:dyDescent="0.25">
      <c r="A35" s="3"/>
      <c r="B35" s="1"/>
      <c r="C35" s="8"/>
      <c r="D35" s="8"/>
      <c r="E35" s="1"/>
    </row>
    <row r="36" spans="1:5" ht="15.75" x14ac:dyDescent="0.25">
      <c r="A36" s="1"/>
      <c r="B36" s="7"/>
      <c r="C36" s="7"/>
      <c r="D36" s="7"/>
      <c r="E36" s="7"/>
    </row>
    <row r="37" spans="1:5" ht="15.75" x14ac:dyDescent="0.25">
      <c r="A37" s="1"/>
      <c r="B37" s="7"/>
      <c r="C37" s="23" t="s">
        <v>8</v>
      </c>
      <c r="D37" s="23"/>
      <c r="E37" s="23"/>
    </row>
    <row r="38" spans="1:5" ht="15.75" x14ac:dyDescent="0.25">
      <c r="A38" s="1"/>
      <c r="B38" s="7"/>
      <c r="C38" s="7"/>
      <c r="D38" s="7"/>
      <c r="E38" s="7"/>
    </row>
    <row r="39" spans="1:5" ht="15.75" x14ac:dyDescent="0.25">
      <c r="A39" s="1"/>
      <c r="B39" s="7"/>
      <c r="C39" s="7"/>
      <c r="D39" s="7"/>
      <c r="E39" s="7"/>
    </row>
    <row r="40" spans="1:5" ht="15.75" x14ac:dyDescent="0.25">
      <c r="A40" s="9"/>
    </row>
  </sheetData>
  <mergeCells count="13">
    <mergeCell ref="C37:E37"/>
    <mergeCell ref="A10:E10"/>
    <mergeCell ref="A11:C11"/>
    <mergeCell ref="D11:E11"/>
    <mergeCell ref="A12:E12"/>
    <mergeCell ref="A13:B13"/>
    <mergeCell ref="C13:E13"/>
    <mergeCell ref="A18:A20"/>
    <mergeCell ref="D28:E28"/>
    <mergeCell ref="A14:B14"/>
    <mergeCell ref="C14:E14"/>
    <mergeCell ref="A15:E15"/>
    <mergeCell ref="A16:E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7:E40"/>
  <sheetViews>
    <sheetView topLeftCell="A11" workbookViewId="0">
      <selection activeCell="H27" sqref="H27"/>
    </sheetView>
  </sheetViews>
  <sheetFormatPr baseColWidth="10" defaultRowHeight="15" x14ac:dyDescent="0.25"/>
  <cols>
    <col min="1" max="1" width="14.28515625" customWidth="1"/>
    <col min="2" max="2" width="23.42578125" customWidth="1"/>
    <col min="3" max="3" width="19.85546875" customWidth="1"/>
    <col min="4" max="4" width="12.28515625" customWidth="1"/>
    <col min="5" max="5" width="14.42578125" customWidth="1"/>
  </cols>
  <sheetData>
    <row r="7" spans="1:5" x14ac:dyDescent="0.25">
      <c r="A7" t="s">
        <v>14</v>
      </c>
    </row>
    <row r="10" spans="1:5" ht="15.75" x14ac:dyDescent="0.25">
      <c r="A10" s="24"/>
      <c r="B10" s="24"/>
      <c r="C10" s="24"/>
      <c r="D10" s="24"/>
      <c r="E10" s="24"/>
    </row>
    <row r="11" spans="1:5" ht="15.75" x14ac:dyDescent="0.25">
      <c r="A11" s="25"/>
      <c r="B11" s="25"/>
      <c r="C11" s="25"/>
      <c r="D11" s="26" t="s">
        <v>19</v>
      </c>
      <c r="E11" s="27"/>
    </row>
    <row r="12" spans="1:5" ht="15.75" x14ac:dyDescent="0.25">
      <c r="A12" s="28" t="s">
        <v>13</v>
      </c>
      <c r="B12" s="29"/>
      <c r="C12" s="29"/>
      <c r="D12" s="29"/>
      <c r="E12" s="29"/>
    </row>
    <row r="13" spans="1:5" ht="29.45" customHeight="1" x14ac:dyDescent="0.25">
      <c r="A13" s="30" t="s">
        <v>20</v>
      </c>
      <c r="B13" s="31"/>
      <c r="C13" s="32" t="s">
        <v>16</v>
      </c>
      <c r="D13" s="32"/>
      <c r="E13" s="33"/>
    </row>
    <row r="14" spans="1:5" ht="14.45" customHeight="1" x14ac:dyDescent="0.25">
      <c r="A14" s="39" t="s">
        <v>9</v>
      </c>
      <c r="B14" s="39"/>
      <c r="C14" s="40" t="s">
        <v>15</v>
      </c>
      <c r="D14" s="40"/>
      <c r="E14" s="40"/>
    </row>
    <row r="15" spans="1:5" ht="20.25" customHeight="1" x14ac:dyDescent="0.25">
      <c r="A15" s="41"/>
      <c r="B15" s="41"/>
      <c r="C15" s="41"/>
      <c r="D15" s="41"/>
      <c r="E15" s="41"/>
    </row>
    <row r="16" spans="1:5" ht="22.5" customHeight="1" x14ac:dyDescent="0.25">
      <c r="A16" s="42"/>
      <c r="B16" s="42"/>
      <c r="C16" s="42"/>
      <c r="D16" s="42"/>
      <c r="E16" s="42"/>
    </row>
    <row r="17" spans="1:5" s="10" customFormat="1" ht="25.5" x14ac:dyDescent="0.2">
      <c r="A17" s="18" t="s">
        <v>1</v>
      </c>
      <c r="B17" s="18" t="s">
        <v>10</v>
      </c>
      <c r="C17" s="18" t="s">
        <v>2</v>
      </c>
      <c r="D17" s="18" t="s">
        <v>11</v>
      </c>
      <c r="E17" s="18" t="s">
        <v>12</v>
      </c>
    </row>
    <row r="18" spans="1:5" ht="15.75" x14ac:dyDescent="0.25">
      <c r="A18" s="14"/>
      <c r="B18" s="15"/>
      <c r="C18" s="16"/>
      <c r="D18" s="17"/>
      <c r="E18" s="17">
        <f>D18*C18</f>
        <v>0</v>
      </c>
    </row>
    <row r="19" spans="1:5" ht="15.75" x14ac:dyDescent="0.25">
      <c r="A19" s="11"/>
      <c r="B19" s="12"/>
      <c r="C19" s="5"/>
      <c r="D19" s="13"/>
      <c r="E19" s="13">
        <f t="shared" ref="E19:E20" si="0">D19*C19</f>
        <v>0</v>
      </c>
    </row>
    <row r="20" spans="1:5" ht="15.75" x14ac:dyDescent="0.25">
      <c r="A20" s="11"/>
      <c r="B20" s="12"/>
      <c r="C20" s="5"/>
      <c r="D20" s="13"/>
      <c r="E20" s="13">
        <f t="shared" si="0"/>
        <v>0</v>
      </c>
    </row>
    <row r="21" spans="1:5" ht="15.75" x14ac:dyDescent="0.25">
      <c r="A21" s="2"/>
      <c r="B21" s="1"/>
      <c r="C21" s="1"/>
      <c r="D21" s="1"/>
      <c r="E21" s="1"/>
    </row>
    <row r="22" spans="1:5" ht="15.75" x14ac:dyDescent="0.25">
      <c r="A22" s="3"/>
      <c r="B22" s="1"/>
      <c r="C22" s="1"/>
      <c r="D22" s="1"/>
      <c r="E22" s="1"/>
    </row>
    <row r="23" spans="1:5" ht="15.75" x14ac:dyDescent="0.25">
      <c r="A23" s="3"/>
      <c r="B23" s="1"/>
      <c r="C23" s="4" t="s">
        <v>3</v>
      </c>
      <c r="D23" s="20" t="s">
        <v>4</v>
      </c>
      <c r="E23" s="21" t="s">
        <v>18</v>
      </c>
    </row>
    <row r="24" spans="1:5" ht="15.75" x14ac:dyDescent="0.25">
      <c r="A24" s="3"/>
      <c r="B24" s="1"/>
      <c r="C24" s="19" t="s">
        <v>5</v>
      </c>
      <c r="D24" s="22"/>
      <c r="E24" s="22">
        <f>D25</f>
        <v>0</v>
      </c>
    </row>
    <row r="25" spans="1:5" ht="15.75" x14ac:dyDescent="0.25">
      <c r="A25" s="3"/>
      <c r="B25" s="1"/>
      <c r="C25" s="19" t="s">
        <v>6</v>
      </c>
      <c r="D25" s="22">
        <f>D26/1.015</f>
        <v>0</v>
      </c>
      <c r="E25" s="22">
        <f>D26-D25</f>
        <v>0</v>
      </c>
    </row>
    <row r="26" spans="1:5" ht="15.75" x14ac:dyDescent="0.25">
      <c r="A26" s="3"/>
      <c r="B26" s="1"/>
      <c r="C26" s="19" t="s">
        <v>7</v>
      </c>
      <c r="D26" s="22">
        <f>E27/1.18</f>
        <v>0</v>
      </c>
      <c r="E26" s="22">
        <f>E27-D26</f>
        <v>0</v>
      </c>
    </row>
    <row r="27" spans="1:5" ht="15.75" x14ac:dyDescent="0.25">
      <c r="A27" s="3"/>
      <c r="B27" s="6"/>
      <c r="C27" s="19" t="s">
        <v>18</v>
      </c>
      <c r="D27" s="22"/>
      <c r="E27" s="22">
        <f>SUM(E18,E19,E20)</f>
        <v>0</v>
      </c>
    </row>
    <row r="28" spans="1:5" ht="15.75" x14ac:dyDescent="0.25">
      <c r="A28" s="3"/>
      <c r="B28" s="6"/>
      <c r="C28" s="19" t="s">
        <v>17</v>
      </c>
      <c r="D28" s="37"/>
      <c r="E28" s="38"/>
    </row>
    <row r="29" spans="1:5" ht="15.75" x14ac:dyDescent="0.25">
      <c r="A29" s="3"/>
      <c r="B29" s="1"/>
      <c r="C29" s="8"/>
      <c r="D29" s="8"/>
      <c r="E29" s="1"/>
    </row>
    <row r="30" spans="1:5" ht="15.75" x14ac:dyDescent="0.25">
      <c r="A30" s="3"/>
      <c r="B30" s="1"/>
      <c r="C30" s="8"/>
      <c r="D30" s="8"/>
      <c r="E30" s="1"/>
    </row>
    <row r="31" spans="1:5" ht="15.75" x14ac:dyDescent="0.25">
      <c r="A31" s="3"/>
      <c r="B31" s="1"/>
      <c r="C31" s="8"/>
      <c r="D31" s="8"/>
      <c r="E31" s="1"/>
    </row>
    <row r="32" spans="1:5" ht="15.75" x14ac:dyDescent="0.25">
      <c r="A32" s="3"/>
      <c r="B32" s="1"/>
      <c r="C32" s="8"/>
      <c r="D32" s="8"/>
      <c r="E32" s="1"/>
    </row>
    <row r="33" spans="1:5" ht="15.75" x14ac:dyDescent="0.25">
      <c r="A33" s="3"/>
      <c r="B33" s="1"/>
      <c r="C33" s="8"/>
      <c r="D33" s="8"/>
      <c r="E33" s="1"/>
    </row>
    <row r="34" spans="1:5" ht="15.75" x14ac:dyDescent="0.25">
      <c r="A34" s="3"/>
      <c r="B34" s="1"/>
      <c r="C34" s="8"/>
      <c r="D34" s="8"/>
      <c r="E34" s="1"/>
    </row>
    <row r="35" spans="1:5" ht="15.75" x14ac:dyDescent="0.25">
      <c r="A35" s="3"/>
      <c r="B35" s="1"/>
      <c r="C35" s="8"/>
      <c r="D35" s="8"/>
      <c r="E35" s="1"/>
    </row>
    <row r="36" spans="1:5" ht="15.75" x14ac:dyDescent="0.25">
      <c r="A36" s="1"/>
      <c r="B36" s="7"/>
      <c r="C36" s="7"/>
      <c r="D36" s="7"/>
      <c r="E36" s="7"/>
    </row>
    <row r="37" spans="1:5" ht="15.75" x14ac:dyDescent="0.25">
      <c r="A37" s="1"/>
      <c r="B37" s="7"/>
      <c r="C37" s="23" t="s">
        <v>8</v>
      </c>
      <c r="D37" s="23"/>
      <c r="E37" s="23"/>
    </row>
    <row r="38" spans="1:5" ht="15.75" x14ac:dyDescent="0.25">
      <c r="A38" s="1"/>
      <c r="B38" s="7"/>
      <c r="C38" s="7"/>
      <c r="D38" s="7"/>
      <c r="E38" s="7"/>
    </row>
    <row r="39" spans="1:5" ht="15.75" x14ac:dyDescent="0.25">
      <c r="A39" s="1"/>
      <c r="B39" s="7"/>
      <c r="C39" s="7"/>
      <c r="D39" s="7"/>
      <c r="E39" s="7"/>
    </row>
    <row r="40" spans="1:5" ht="15.75" x14ac:dyDescent="0.25">
      <c r="A40" s="9"/>
    </row>
  </sheetData>
  <mergeCells count="12">
    <mergeCell ref="C37:E37"/>
    <mergeCell ref="A10:E10"/>
    <mergeCell ref="A11:C11"/>
    <mergeCell ref="D11:E11"/>
    <mergeCell ref="A12:E12"/>
    <mergeCell ref="A13:B13"/>
    <mergeCell ref="C13:E13"/>
    <mergeCell ref="A14:B14"/>
    <mergeCell ref="C14:E14"/>
    <mergeCell ref="A15:E15"/>
    <mergeCell ref="A16:E16"/>
    <mergeCell ref="D28:E2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specimen FNE societe</vt:lpstr>
      <vt:lpstr>specimen FNE CLIENT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HLH ATTA</dc:creator>
  <cp:lastModifiedBy>Bertrand Aristide ETOUMI</cp:lastModifiedBy>
  <cp:lastPrinted>2025-07-16T22:26:45Z</cp:lastPrinted>
  <dcterms:created xsi:type="dcterms:W3CDTF">2025-06-19T10:49:36Z</dcterms:created>
  <dcterms:modified xsi:type="dcterms:W3CDTF">2025-07-19T09:42:37Z</dcterms:modified>
</cp:coreProperties>
</file>